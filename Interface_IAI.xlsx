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loup\Documents\GIT\Interface_IAI\"/>
    </mc:Choice>
  </mc:AlternateContent>
  <xr:revisionPtr revIDLastSave="0" documentId="13_ncr:1_{1A738DB8-9050-474F-BB1D-D3B5A4C78D7F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terface_IAI" sheetId="1" r:id="rId1"/>
  </sheets>
  <calcPr calcId="191029"/>
</workbook>
</file>

<file path=xl/calcChain.xml><?xml version="1.0" encoding="utf-8"?>
<calcChain xmlns="http://schemas.openxmlformats.org/spreadsheetml/2006/main">
  <c r="C57" i="1" l="1"/>
  <c r="H57" i="1"/>
  <c r="H56" i="1"/>
  <c r="C56" i="1"/>
  <c r="H55" i="1" l="1"/>
  <c r="C55" i="1"/>
  <c r="C54" i="1"/>
  <c r="H54" i="1" s="1"/>
  <c r="C30" i="1"/>
  <c r="H30" i="1" s="1"/>
  <c r="C43" i="1"/>
  <c r="H43" i="1" s="1"/>
  <c r="C44" i="1"/>
  <c r="H44" i="1" s="1"/>
  <c r="C45" i="1"/>
  <c r="H45" i="1" s="1"/>
  <c r="C46" i="1"/>
  <c r="H46" i="1" s="1"/>
  <c r="C47" i="1"/>
  <c r="H47" i="1" s="1"/>
  <c r="C48" i="1"/>
  <c r="H48" i="1" s="1"/>
  <c r="C49" i="1"/>
  <c r="H49" i="1" s="1"/>
  <c r="C50" i="1"/>
  <c r="H50" i="1" s="1"/>
  <c r="C51" i="1"/>
  <c r="H51" i="1" s="1"/>
  <c r="C52" i="1"/>
  <c r="H52" i="1" s="1"/>
  <c r="C53" i="1"/>
  <c r="H53" i="1" s="1"/>
  <c r="C42" i="1"/>
  <c r="H42" i="1" s="1"/>
  <c r="H59" i="1" s="1"/>
  <c r="C5" i="1" l="1"/>
  <c r="C6" i="1"/>
  <c r="C7" i="1"/>
  <c r="H7" i="1" s="1"/>
  <c r="C8" i="1"/>
  <c r="H8" i="1" s="1"/>
  <c r="C9" i="1"/>
  <c r="H9" i="1" s="1"/>
  <c r="C10" i="1"/>
  <c r="H10" i="1" s="1"/>
  <c r="C11" i="1"/>
  <c r="H11" i="1" s="1"/>
  <c r="C12" i="1"/>
  <c r="H12" i="1" s="1"/>
  <c r="C13" i="1"/>
  <c r="H13" i="1" s="1"/>
  <c r="C14" i="1"/>
  <c r="H14" i="1" s="1"/>
  <c r="C15" i="1"/>
  <c r="H15" i="1" s="1"/>
  <c r="C16" i="1"/>
  <c r="H16" i="1" s="1"/>
  <c r="C17" i="1"/>
  <c r="H17" i="1" s="1"/>
  <c r="C18" i="1"/>
  <c r="H18" i="1" s="1"/>
  <c r="C19" i="1"/>
  <c r="H19" i="1" s="1"/>
  <c r="C20" i="1"/>
  <c r="H20" i="1" s="1"/>
  <c r="C21" i="1"/>
  <c r="H21" i="1" s="1"/>
  <c r="C22" i="1"/>
  <c r="H22" i="1" s="1"/>
  <c r="C23" i="1"/>
  <c r="H23" i="1" s="1"/>
  <c r="C24" i="1"/>
  <c r="H24" i="1" s="1"/>
  <c r="C25" i="1"/>
  <c r="H25" i="1" s="1"/>
  <c r="C26" i="1"/>
  <c r="H26" i="1" s="1"/>
  <c r="C27" i="1"/>
  <c r="H27" i="1" s="1"/>
  <c r="C28" i="1"/>
  <c r="H28" i="1" s="1"/>
  <c r="C29" i="1"/>
  <c r="H29" i="1" s="1"/>
  <c r="C4" i="1"/>
  <c r="H32" i="1" l="1"/>
  <c r="H61" i="1" s="1"/>
  <c r="H62" i="1" s="1"/>
</calcChain>
</file>

<file path=xl/sharedStrings.xml><?xml version="1.0" encoding="utf-8"?>
<sst xmlns="http://schemas.openxmlformats.org/spreadsheetml/2006/main" count="185" uniqueCount="114">
  <si>
    <t>Composants pour cicuit imprimé</t>
  </si>
  <si>
    <t>Reference</t>
  </si>
  <si>
    <t>Fournisseur</t>
  </si>
  <si>
    <t>PUHT</t>
  </si>
  <si>
    <t>PTHT</t>
  </si>
  <si>
    <t>C1,C2,C3</t>
  </si>
  <si>
    <t>100nF</t>
  </si>
  <si>
    <t>Digikey</t>
  </si>
  <si>
    <t>BC3323-ND</t>
  </si>
  <si>
    <t>C4</t>
  </si>
  <si>
    <t>10uF</t>
  </si>
  <si>
    <t>399-13968-ND</t>
  </si>
  <si>
    <t>C5</t>
  </si>
  <si>
    <t>10uF 50V</t>
  </si>
  <si>
    <t>399-6100-ND</t>
  </si>
  <si>
    <t>D1</t>
  </si>
  <si>
    <t>1N5819</t>
  </si>
  <si>
    <t>1801-1N5819CT-ND</t>
  </si>
  <si>
    <t>J1.2</t>
  </si>
  <si>
    <t>+24V</t>
  </si>
  <si>
    <t>277-1247-ND</t>
  </si>
  <si>
    <t>J2.4</t>
  </si>
  <si>
    <t>ADWIN_DIO32</t>
  </si>
  <si>
    <t>277-1249-ND</t>
  </si>
  <si>
    <t>J2.3</t>
  </si>
  <si>
    <t>277-1264-ND</t>
  </si>
  <si>
    <t>J3.4</t>
  </si>
  <si>
    <t>SCON_FEEDBACK</t>
  </si>
  <si>
    <t>J3.3</t>
  </si>
  <si>
    <t>J4.4</t>
  </si>
  <si>
    <t>SCON_PULSE</t>
  </si>
  <si>
    <t>J5.2</t>
  </si>
  <si>
    <t>SCON_PIO</t>
  </si>
  <si>
    <t>J5.4</t>
  </si>
  <si>
    <t>J6.4</t>
  </si>
  <si>
    <t>ADWin CO4-T</t>
  </si>
  <si>
    <t>R1,R2,R8,R9,R10</t>
  </si>
  <si>
    <t>100XBK-ND</t>
  </si>
  <si>
    <t>10k</t>
  </si>
  <si>
    <t>10.0KXBK-ND</t>
  </si>
  <si>
    <t>R5,R6,R7</t>
  </si>
  <si>
    <t>MFR-25FBF52-120R-ND</t>
  </si>
  <si>
    <t>2.2k</t>
  </si>
  <si>
    <t>MFR-25FBF52-2K2-ND</t>
  </si>
  <si>
    <t>U1</t>
  </si>
  <si>
    <t>AM26LS31</t>
  </si>
  <si>
    <t>296-1374-5-ND</t>
  </si>
  <si>
    <t>U2</t>
  </si>
  <si>
    <t>AM26LS32</t>
  </si>
  <si>
    <t>296-1376-5-ND</t>
  </si>
  <si>
    <t>U3</t>
  </si>
  <si>
    <t>TBD62783APG</t>
  </si>
  <si>
    <t>TBD62783APG-ND</t>
  </si>
  <si>
    <t>U4</t>
  </si>
  <si>
    <t>R-78K5.0-1.0</t>
  </si>
  <si>
    <t>945-R-78K5.0-1.0-ND</t>
  </si>
  <si>
    <t>Support CI DIP 16</t>
  </si>
  <si>
    <t>ED3016-ND</t>
  </si>
  <si>
    <t>Support CI DIP 18</t>
  </si>
  <si>
    <t>123-AR18-HZL-TT-ND</t>
  </si>
  <si>
    <t>LED</t>
  </si>
  <si>
    <t>WP710A10LGD</t>
  </si>
  <si>
    <t>754-1609-ND</t>
  </si>
  <si>
    <t>Total HT</t>
  </si>
  <si>
    <t>Circuit imprimé</t>
  </si>
  <si>
    <t>Eurocircuits</t>
  </si>
  <si>
    <t>B5452603</t>
  </si>
  <si>
    <t>Grand total HT</t>
  </si>
  <si>
    <t>Grand total TTC</t>
  </si>
  <si>
    <t>732-12994-ND</t>
  </si>
  <si>
    <t>Entretoise hexagonale M3, polyamide</t>
  </si>
  <si>
    <t>MF-R050-ND</t>
  </si>
  <si>
    <t>D2</t>
  </si>
  <si>
    <t>MF-R050</t>
  </si>
  <si>
    <t>R3,R4,R11,R12,R13,R14,R15,R16,R17,R18,R23,R25,R26,R28,R30</t>
  </si>
  <si>
    <t>R19,R20,R21,R22,R24,R27,R29</t>
  </si>
  <si>
    <t xml:space="preserve"> 775-5322</t>
  </si>
  <si>
    <t>Radiospares</t>
  </si>
  <si>
    <t>Coffret mural</t>
  </si>
  <si>
    <t>200-6731</t>
  </si>
  <si>
    <r>
      <t xml:space="preserve">Rail </t>
    </r>
    <r>
      <rPr>
        <u/>
        <sz val="10"/>
        <color rgb="FF000000"/>
        <rFont val="Arial Unicode MS"/>
      </rPr>
      <t>DIN</t>
    </r>
    <r>
      <rPr>
        <sz val="10"/>
        <color rgb="FF000000"/>
        <rFont val="Arial Unicode MS"/>
      </rPr>
      <t xml:space="preserve"> à couper</t>
    </r>
  </si>
  <si>
    <t>879-3713</t>
  </si>
  <si>
    <r>
      <t xml:space="preserve">Un disjoncteur différentiel </t>
    </r>
    <r>
      <rPr>
        <u/>
        <sz val="10"/>
        <color rgb="FF000000"/>
        <rFont val="Arial Unicode MS"/>
      </rPr>
      <t>30mA</t>
    </r>
    <r>
      <rPr>
        <sz val="10"/>
        <color rgb="FF000000"/>
        <rFont val="Arial Unicode MS"/>
      </rPr>
      <t xml:space="preserve">, </t>
    </r>
    <r>
      <rPr>
        <u/>
        <sz val="10"/>
        <color rgb="FF000000"/>
        <rFont val="Arial Unicode MS"/>
      </rPr>
      <t>40A</t>
    </r>
    <r>
      <rPr>
        <sz val="10"/>
        <color rgb="FF000000"/>
        <rFont val="Arial Unicode MS"/>
      </rPr>
      <t>, type C</t>
    </r>
  </si>
  <si>
    <t>145-7868</t>
  </si>
  <si>
    <t>175-3722</t>
  </si>
  <si>
    <r>
      <t xml:space="preserve">Alimentation sur Rail </t>
    </r>
    <r>
      <rPr>
        <u/>
        <sz val="10"/>
        <color rgb="FF000000"/>
        <rFont val="Arial Unicode MS"/>
      </rPr>
      <t>DIN</t>
    </r>
  </si>
  <si>
    <t>175-3725</t>
  </si>
  <si>
    <t xml:space="preserve"> 175-3723</t>
  </si>
  <si>
    <t>Filtre EMI (RS )</t>
  </si>
  <si>
    <t>292-818</t>
  </si>
  <si>
    <r>
      <t xml:space="preserve">Filtre </t>
    </r>
    <r>
      <rPr>
        <u/>
        <sz val="10"/>
        <color rgb="FF000000"/>
        <rFont val="Arial Unicode MS"/>
      </rPr>
      <t>EMI</t>
    </r>
    <r>
      <rPr>
        <sz val="10"/>
        <color rgb="FF000000"/>
        <rFont val="Arial Unicode MS"/>
      </rPr>
      <t xml:space="preserve"> (</t>
    </r>
    <r>
      <rPr>
        <u/>
        <sz val="10"/>
        <color rgb="FF000000"/>
        <rFont val="Arial Unicode MS"/>
      </rPr>
      <t>RS</t>
    </r>
    <r>
      <rPr>
        <sz val="10"/>
        <color rgb="FF000000"/>
        <rFont val="Arial Unicode MS"/>
      </rPr>
      <t xml:space="preserve"> )</t>
    </r>
  </si>
  <si>
    <t>708-4272</t>
  </si>
  <si>
    <t>916-4336</t>
  </si>
  <si>
    <t>noyaux de ferrite</t>
  </si>
  <si>
    <r>
      <t xml:space="preserve">disjoncteur </t>
    </r>
    <r>
      <rPr>
        <u/>
        <sz val="10"/>
        <color rgb="FF000000"/>
        <rFont val="Arial Unicode MS"/>
      </rPr>
      <t>20A</t>
    </r>
    <r>
      <rPr>
        <sz val="10"/>
        <color rgb="FF000000"/>
        <rFont val="Arial Unicode MS"/>
      </rPr>
      <t xml:space="preserve"> axe 0</t>
    </r>
  </si>
  <si>
    <r>
      <t xml:space="preserve">disjoncteur </t>
    </r>
    <r>
      <rPr>
        <u/>
        <sz val="10"/>
        <color rgb="FF000000"/>
        <rFont val="Arial Unicode MS"/>
      </rPr>
      <t>10A</t>
    </r>
    <r>
      <rPr>
        <sz val="10"/>
        <color rgb="FF000000"/>
        <rFont val="Arial Unicode MS"/>
      </rPr>
      <t xml:space="preserve"> axe 1</t>
    </r>
  </si>
  <si>
    <r>
      <t xml:space="preserve">Disjoncteur </t>
    </r>
    <r>
      <rPr>
        <u/>
        <sz val="10"/>
        <color rgb="FF000000"/>
        <rFont val="Arial Unicode MS"/>
      </rPr>
      <t>6A</t>
    </r>
    <r>
      <rPr>
        <sz val="10"/>
        <color rgb="FF000000"/>
        <rFont val="Arial Unicode MS"/>
      </rPr>
      <t xml:space="preserve"> </t>
    </r>
  </si>
  <si>
    <t xml:space="preserve">669-4660 </t>
  </si>
  <si>
    <t>Qté</t>
  </si>
  <si>
    <t>Qté totale</t>
  </si>
  <si>
    <t>Valeur</t>
  </si>
  <si>
    <t>Goulotte (1 paquet de 4 unités)</t>
  </si>
  <si>
    <t>238-3297</t>
  </si>
  <si>
    <t>Coffret mural avec protection</t>
  </si>
  <si>
    <t>Fusible</t>
  </si>
  <si>
    <t>300-295</t>
  </si>
  <si>
    <t>Connecteur SubD 37 male</t>
  </si>
  <si>
    <t>251-677</t>
  </si>
  <si>
    <t>Presse-étoupe Ø 4 à 9 mm (1 sachet de 5 unités)</t>
  </si>
  <si>
    <t>Capot connecteur SubD 37</t>
  </si>
  <si>
    <t>498-2710</t>
  </si>
  <si>
    <t>Connecteur CEI Droit C20 Schurter, Panneau Mâle</t>
  </si>
  <si>
    <t>295-8759</t>
  </si>
  <si>
    <t>Connecteur CEI Droit C19 Schurter, Câble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</si>
</sst>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rgb="FF000000"/>
      <name val="Arial Unicode MS"/>
    </font>
    <font>
      <u/>
      <sz val="10"/>
      <color rgb="FF000000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19" fillId="0" borderId="0" xfId="0" applyFont="1" applyAlignment="1">
      <alignment horizontal="center" vertical="center"/>
    </xf>
    <xf numFmtId="8" fontId="20" fillId="0" borderId="10" xfId="0" applyNumberFormat="1" applyFont="1" applyBorder="1" applyAlignment="1">
      <alignment horizontal="center" vertical="center"/>
    </xf>
    <xf numFmtId="8" fontId="21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2" fillId="0" borderId="10" xfId="0" applyFont="1" applyBorder="1"/>
    <xf numFmtId="0" fontId="22" fillId="0" borderId="0" xfId="0" applyFont="1"/>
    <xf numFmtId="0" fontId="22" fillId="33" borderId="10" xfId="0" applyFont="1" applyFill="1" applyBorder="1"/>
    <xf numFmtId="0" fontId="0" fillId="33" borderId="10" xfId="0" applyFill="1" applyBorder="1"/>
    <xf numFmtId="0" fontId="14" fillId="33" borderId="10" xfId="0" applyFont="1" applyFill="1" applyBorder="1"/>
    <xf numFmtId="0" fontId="20" fillId="0" borderId="0" xfId="0" applyFont="1" applyAlignment="1">
      <alignment horizontal="center"/>
    </xf>
    <xf numFmtId="0" fontId="14" fillId="0" borderId="10" xfId="0" applyFont="1" applyBorder="1"/>
    <xf numFmtId="0" fontId="14" fillId="0" borderId="0" xfId="0" applyFont="1"/>
    <xf numFmtId="0" fontId="18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40" workbookViewId="0">
      <selection activeCell="A57" sqref="A57"/>
    </sheetView>
  </sheetViews>
  <sheetFormatPr baseColWidth="10" defaultRowHeight="14.4"/>
  <cols>
    <col min="1" max="1" width="45.109375" customWidth="1"/>
    <col min="2" max="2" width="5.88671875" customWidth="1"/>
    <col min="3" max="3" width="8.6640625" style="14" customWidth="1"/>
    <col min="4" max="4" width="18.88671875" customWidth="1"/>
  </cols>
  <sheetData>
    <row r="1" spans="1:8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15"/>
      <c r="B2" s="15"/>
      <c r="C2" s="15"/>
      <c r="D2" s="15"/>
      <c r="E2" s="15"/>
      <c r="F2" s="15"/>
      <c r="G2" s="15"/>
      <c r="H2" s="15"/>
    </row>
    <row r="3" spans="1:8">
      <c r="A3" s="6" t="s">
        <v>1</v>
      </c>
      <c r="B3" s="6" t="s">
        <v>98</v>
      </c>
      <c r="C3" s="12" t="s">
        <v>99</v>
      </c>
      <c r="D3" s="6" t="s">
        <v>100</v>
      </c>
      <c r="E3" s="6" t="s">
        <v>2</v>
      </c>
      <c r="F3" s="6" t="s">
        <v>1</v>
      </c>
      <c r="G3" s="6" t="s">
        <v>3</v>
      </c>
      <c r="H3" s="6" t="s">
        <v>4</v>
      </c>
    </row>
    <row r="4" spans="1:8">
      <c r="A4" s="1" t="s">
        <v>5</v>
      </c>
      <c r="B4" s="1">
        <v>3</v>
      </c>
      <c r="C4" s="13">
        <f>B4*2</f>
        <v>6</v>
      </c>
      <c r="D4" s="1" t="s">
        <v>6</v>
      </c>
      <c r="E4" s="1" t="s">
        <v>7</v>
      </c>
      <c r="F4" s="1" t="s">
        <v>8</v>
      </c>
      <c r="G4" s="1">
        <v>0.23</v>
      </c>
      <c r="H4" s="1">
        <v>1.38</v>
      </c>
    </row>
    <row r="5" spans="1:8">
      <c r="A5" s="1" t="s">
        <v>9</v>
      </c>
      <c r="B5" s="1">
        <v>1</v>
      </c>
      <c r="C5" s="13">
        <f t="shared" ref="C5:C30" si="0">B5*2</f>
        <v>2</v>
      </c>
      <c r="D5" s="1" t="s">
        <v>10</v>
      </c>
      <c r="E5" s="1" t="s">
        <v>7</v>
      </c>
      <c r="F5" s="1" t="s">
        <v>11</v>
      </c>
      <c r="G5" s="1">
        <v>5.1100000000000003</v>
      </c>
      <c r="H5" s="1">
        <v>10.220000000000001</v>
      </c>
    </row>
    <row r="6" spans="1:8">
      <c r="A6" s="1" t="s">
        <v>12</v>
      </c>
      <c r="B6" s="1">
        <v>1</v>
      </c>
      <c r="C6" s="13">
        <f t="shared" si="0"/>
        <v>2</v>
      </c>
      <c r="D6" s="1" t="s">
        <v>13</v>
      </c>
      <c r="E6" s="1" t="s">
        <v>7</v>
      </c>
      <c r="F6" s="1" t="s">
        <v>14</v>
      </c>
      <c r="G6" s="1">
        <v>0.15</v>
      </c>
      <c r="H6" s="1">
        <v>0.3</v>
      </c>
    </row>
    <row r="7" spans="1:8">
      <c r="A7" s="1" t="s">
        <v>15</v>
      </c>
      <c r="B7" s="1">
        <v>1</v>
      </c>
      <c r="C7" s="13">
        <f t="shared" si="0"/>
        <v>2</v>
      </c>
      <c r="D7" s="1" t="s">
        <v>16</v>
      </c>
      <c r="E7" s="1" t="s">
        <v>7</v>
      </c>
      <c r="F7" s="1" t="s">
        <v>17</v>
      </c>
      <c r="G7" s="1">
        <v>0.27</v>
      </c>
      <c r="H7" s="1">
        <f>G7*C7</f>
        <v>0.54</v>
      </c>
    </row>
    <row r="8" spans="1:8">
      <c r="A8" s="1" t="s">
        <v>72</v>
      </c>
      <c r="B8" s="1">
        <v>1</v>
      </c>
      <c r="C8" s="13">
        <f t="shared" si="0"/>
        <v>2</v>
      </c>
      <c r="D8" s="1" t="s">
        <v>73</v>
      </c>
      <c r="E8" s="1" t="s">
        <v>7</v>
      </c>
      <c r="F8" s="1" t="s">
        <v>71</v>
      </c>
      <c r="G8" s="1">
        <v>0.41</v>
      </c>
      <c r="H8" s="1">
        <f t="shared" ref="H8:H30" si="1">G8*C8</f>
        <v>0.82</v>
      </c>
    </row>
    <row r="9" spans="1:8">
      <c r="A9" s="1" t="s">
        <v>18</v>
      </c>
      <c r="B9" s="1">
        <v>1</v>
      </c>
      <c r="C9" s="13">
        <f t="shared" si="0"/>
        <v>2</v>
      </c>
      <c r="D9" s="1" t="s">
        <v>19</v>
      </c>
      <c r="E9" s="1" t="s">
        <v>7</v>
      </c>
      <c r="F9" s="1" t="s">
        <v>20</v>
      </c>
      <c r="G9" s="1">
        <v>0.81</v>
      </c>
      <c r="H9" s="1">
        <f t="shared" si="1"/>
        <v>1.62</v>
      </c>
    </row>
    <row r="10" spans="1:8">
      <c r="A10" s="1" t="s">
        <v>21</v>
      </c>
      <c r="B10" s="1">
        <v>3</v>
      </c>
      <c r="C10" s="13">
        <f t="shared" si="0"/>
        <v>6</v>
      </c>
      <c r="D10" s="1" t="s">
        <v>22</v>
      </c>
      <c r="E10" s="1" t="s">
        <v>7</v>
      </c>
      <c r="F10" s="1" t="s">
        <v>23</v>
      </c>
      <c r="G10" s="1">
        <v>1.66</v>
      </c>
      <c r="H10" s="1">
        <f t="shared" si="1"/>
        <v>9.9599999999999991</v>
      </c>
    </row>
    <row r="11" spans="1:8">
      <c r="A11" s="1" t="s">
        <v>24</v>
      </c>
      <c r="B11" s="1">
        <v>1</v>
      </c>
      <c r="C11" s="13">
        <f t="shared" si="0"/>
        <v>2</v>
      </c>
      <c r="D11" s="1" t="s">
        <v>22</v>
      </c>
      <c r="E11" s="1" t="s">
        <v>7</v>
      </c>
      <c r="F11" s="1" t="s">
        <v>25</v>
      </c>
      <c r="G11" s="1">
        <v>1.46</v>
      </c>
      <c r="H11" s="1">
        <f t="shared" si="1"/>
        <v>2.92</v>
      </c>
    </row>
    <row r="12" spans="1:8">
      <c r="A12" s="1" t="s">
        <v>26</v>
      </c>
      <c r="B12" s="1">
        <v>1</v>
      </c>
      <c r="C12" s="13">
        <f t="shared" si="0"/>
        <v>2</v>
      </c>
      <c r="D12" s="1" t="s">
        <v>27</v>
      </c>
      <c r="E12" s="1" t="s">
        <v>7</v>
      </c>
      <c r="F12" s="1" t="s">
        <v>23</v>
      </c>
      <c r="G12" s="1">
        <v>1.66</v>
      </c>
      <c r="H12" s="1">
        <f t="shared" si="1"/>
        <v>3.32</v>
      </c>
    </row>
    <row r="13" spans="1:8">
      <c r="A13" s="1" t="s">
        <v>28</v>
      </c>
      <c r="B13" s="1">
        <v>1</v>
      </c>
      <c r="C13" s="13">
        <f t="shared" si="0"/>
        <v>2</v>
      </c>
      <c r="D13" s="1" t="s">
        <v>27</v>
      </c>
      <c r="E13" s="1" t="s">
        <v>7</v>
      </c>
      <c r="F13" s="1" t="s">
        <v>25</v>
      </c>
      <c r="G13" s="1">
        <v>1.46</v>
      </c>
      <c r="H13" s="1">
        <f t="shared" si="1"/>
        <v>2.92</v>
      </c>
    </row>
    <row r="14" spans="1:8">
      <c r="A14" s="1" t="s">
        <v>29</v>
      </c>
      <c r="B14" s="1">
        <v>1</v>
      </c>
      <c r="C14" s="13">
        <f t="shared" si="0"/>
        <v>2</v>
      </c>
      <c r="D14" s="1" t="s">
        <v>30</v>
      </c>
      <c r="E14" s="1" t="s">
        <v>7</v>
      </c>
      <c r="F14" s="1" t="s">
        <v>23</v>
      </c>
      <c r="G14" s="1">
        <v>1.66</v>
      </c>
      <c r="H14" s="1">
        <f t="shared" si="1"/>
        <v>3.32</v>
      </c>
    </row>
    <row r="15" spans="1:8">
      <c r="A15" s="1" t="s">
        <v>31</v>
      </c>
      <c r="B15" s="1">
        <v>1</v>
      </c>
      <c r="C15" s="13">
        <f t="shared" si="0"/>
        <v>2</v>
      </c>
      <c r="D15" s="1" t="s">
        <v>32</v>
      </c>
      <c r="E15" s="1" t="s">
        <v>7</v>
      </c>
      <c r="F15" s="1" t="s">
        <v>20</v>
      </c>
      <c r="G15" s="1">
        <v>0.81</v>
      </c>
      <c r="H15" s="1">
        <f t="shared" si="1"/>
        <v>1.62</v>
      </c>
    </row>
    <row r="16" spans="1:8">
      <c r="A16" s="1" t="s">
        <v>33</v>
      </c>
      <c r="B16" s="1">
        <v>3</v>
      </c>
      <c r="C16" s="13">
        <f t="shared" si="0"/>
        <v>6</v>
      </c>
      <c r="D16" s="1" t="s">
        <v>32</v>
      </c>
      <c r="E16" s="1" t="s">
        <v>7</v>
      </c>
      <c r="F16" s="1" t="s">
        <v>23</v>
      </c>
      <c r="G16" s="1">
        <v>1.66</v>
      </c>
      <c r="H16" s="1">
        <f t="shared" si="1"/>
        <v>9.9599999999999991</v>
      </c>
    </row>
    <row r="17" spans="1:8">
      <c r="A17" s="1" t="s">
        <v>34</v>
      </c>
      <c r="B17" s="1">
        <v>1</v>
      </c>
      <c r="C17" s="13">
        <f t="shared" si="0"/>
        <v>2</v>
      </c>
      <c r="D17" s="1" t="s">
        <v>35</v>
      </c>
      <c r="E17" s="1" t="s">
        <v>7</v>
      </c>
      <c r="F17" s="1" t="s">
        <v>23</v>
      </c>
      <c r="G17" s="1">
        <v>1.66</v>
      </c>
      <c r="H17" s="1">
        <f t="shared" si="1"/>
        <v>3.32</v>
      </c>
    </row>
    <row r="18" spans="1:8">
      <c r="A18" s="1" t="s">
        <v>36</v>
      </c>
      <c r="B18" s="1">
        <v>5</v>
      </c>
      <c r="C18" s="13">
        <f t="shared" si="0"/>
        <v>10</v>
      </c>
      <c r="D18" s="1">
        <v>100</v>
      </c>
      <c r="E18" s="1" t="s">
        <v>7</v>
      </c>
      <c r="F18" s="1" t="s">
        <v>37</v>
      </c>
      <c r="G18" s="1">
        <v>0.09</v>
      </c>
      <c r="H18" s="1">
        <f t="shared" si="1"/>
        <v>0.89999999999999991</v>
      </c>
    </row>
    <row r="19" spans="1:8">
      <c r="A19" s="1" t="s">
        <v>74</v>
      </c>
      <c r="B19" s="1">
        <v>15</v>
      </c>
      <c r="C19" s="13">
        <f t="shared" si="0"/>
        <v>30</v>
      </c>
      <c r="D19" s="1" t="s">
        <v>38</v>
      </c>
      <c r="E19" s="1" t="s">
        <v>7</v>
      </c>
      <c r="F19" s="1" t="s">
        <v>39</v>
      </c>
      <c r="G19" s="1">
        <v>0.09</v>
      </c>
      <c r="H19" s="1">
        <f t="shared" si="1"/>
        <v>2.6999999999999997</v>
      </c>
    </row>
    <row r="20" spans="1:8">
      <c r="A20" s="1" t="s">
        <v>40</v>
      </c>
      <c r="B20" s="1">
        <v>3</v>
      </c>
      <c r="C20" s="13">
        <f t="shared" si="0"/>
        <v>6</v>
      </c>
      <c r="D20" s="1">
        <v>120</v>
      </c>
      <c r="E20" s="1" t="s">
        <v>7</v>
      </c>
      <c r="F20" s="1" t="s">
        <v>41</v>
      </c>
      <c r="G20" s="1">
        <v>0.09</v>
      </c>
      <c r="H20" s="1">
        <f t="shared" si="1"/>
        <v>0.54</v>
      </c>
    </row>
    <row r="21" spans="1:8">
      <c r="A21" s="1" t="s">
        <v>75</v>
      </c>
      <c r="B21" s="1">
        <v>7</v>
      </c>
      <c r="C21" s="13">
        <f t="shared" si="0"/>
        <v>14</v>
      </c>
      <c r="D21" s="1" t="s">
        <v>42</v>
      </c>
      <c r="E21" s="1" t="s">
        <v>7</v>
      </c>
      <c r="F21" s="1" t="s">
        <v>43</v>
      </c>
      <c r="G21" s="1">
        <v>0.09</v>
      </c>
      <c r="H21" s="1">
        <f t="shared" si="1"/>
        <v>1.26</v>
      </c>
    </row>
    <row r="22" spans="1:8">
      <c r="A22" s="1" t="s">
        <v>44</v>
      </c>
      <c r="B22" s="1">
        <v>1</v>
      </c>
      <c r="C22" s="13">
        <f t="shared" si="0"/>
        <v>2</v>
      </c>
      <c r="D22" s="1" t="s">
        <v>45</v>
      </c>
      <c r="E22" s="1" t="s">
        <v>7</v>
      </c>
      <c r="F22" s="1" t="s">
        <v>46</v>
      </c>
      <c r="G22" s="1">
        <v>1.81</v>
      </c>
      <c r="H22" s="1">
        <f t="shared" si="1"/>
        <v>3.62</v>
      </c>
    </row>
    <row r="23" spans="1:8">
      <c r="A23" s="1" t="s">
        <v>47</v>
      </c>
      <c r="B23" s="1">
        <v>1</v>
      </c>
      <c r="C23" s="13">
        <f t="shared" si="0"/>
        <v>2</v>
      </c>
      <c r="D23" s="1" t="s">
        <v>48</v>
      </c>
      <c r="E23" s="1" t="s">
        <v>7</v>
      </c>
      <c r="F23" s="1" t="s">
        <v>49</v>
      </c>
      <c r="G23" s="1">
        <v>1.94</v>
      </c>
      <c r="H23" s="1">
        <f t="shared" si="1"/>
        <v>3.88</v>
      </c>
    </row>
    <row r="24" spans="1:8">
      <c r="A24" s="1" t="s">
        <v>50</v>
      </c>
      <c r="B24" s="1">
        <v>1</v>
      </c>
      <c r="C24" s="13">
        <f t="shared" si="0"/>
        <v>2</v>
      </c>
      <c r="D24" s="1" t="s">
        <v>51</v>
      </c>
      <c r="E24" s="1" t="s">
        <v>7</v>
      </c>
      <c r="F24" s="1" t="s">
        <v>52</v>
      </c>
      <c r="G24" s="1">
        <v>2.52</v>
      </c>
      <c r="H24" s="1">
        <f t="shared" si="1"/>
        <v>5.04</v>
      </c>
    </row>
    <row r="25" spans="1:8">
      <c r="A25" s="1" t="s">
        <v>53</v>
      </c>
      <c r="B25" s="1">
        <v>1</v>
      </c>
      <c r="C25" s="13">
        <f t="shared" si="0"/>
        <v>2</v>
      </c>
      <c r="D25" s="1" t="s">
        <v>54</v>
      </c>
      <c r="E25" s="1" t="s">
        <v>7</v>
      </c>
      <c r="F25" s="1" t="s">
        <v>55</v>
      </c>
      <c r="G25" s="1">
        <v>3.41</v>
      </c>
      <c r="H25" s="1">
        <f t="shared" si="1"/>
        <v>6.82</v>
      </c>
    </row>
    <row r="26" spans="1:8">
      <c r="A26" s="1" t="s">
        <v>56</v>
      </c>
      <c r="B26" s="1">
        <v>2</v>
      </c>
      <c r="C26" s="13">
        <f t="shared" si="0"/>
        <v>4</v>
      </c>
      <c r="D26" s="1"/>
      <c r="E26" s="1" t="s">
        <v>7</v>
      </c>
      <c r="F26" s="1" t="s">
        <v>57</v>
      </c>
      <c r="G26" s="1">
        <v>0.95</v>
      </c>
      <c r="H26" s="1">
        <f t="shared" si="1"/>
        <v>3.8</v>
      </c>
    </row>
    <row r="27" spans="1:8">
      <c r="A27" s="1" t="s">
        <v>58</v>
      </c>
      <c r="B27" s="1">
        <v>1</v>
      </c>
      <c r="C27" s="13">
        <f t="shared" si="0"/>
        <v>2</v>
      </c>
      <c r="D27" s="1"/>
      <c r="E27" s="1" t="s">
        <v>7</v>
      </c>
      <c r="F27" s="1" t="s">
        <v>59</v>
      </c>
      <c r="G27" s="1">
        <v>0.95</v>
      </c>
      <c r="H27" s="1">
        <f t="shared" si="1"/>
        <v>1.9</v>
      </c>
    </row>
    <row r="28" spans="1:8">
      <c r="A28" s="1" t="s">
        <v>60</v>
      </c>
      <c r="B28" s="1">
        <v>2</v>
      </c>
      <c r="C28" s="13">
        <f t="shared" si="0"/>
        <v>4</v>
      </c>
      <c r="D28" s="1" t="s">
        <v>61</v>
      </c>
      <c r="E28" s="1" t="s">
        <v>7</v>
      </c>
      <c r="F28" s="1" t="s">
        <v>62</v>
      </c>
      <c r="G28" s="1">
        <v>0.19</v>
      </c>
      <c r="H28" s="1">
        <f t="shared" si="1"/>
        <v>0.76</v>
      </c>
    </row>
    <row r="29" spans="1:8">
      <c r="A29" s="1" t="s">
        <v>70</v>
      </c>
      <c r="B29" s="1">
        <v>6</v>
      </c>
      <c r="C29" s="13">
        <f t="shared" si="0"/>
        <v>12</v>
      </c>
      <c r="D29" s="1"/>
      <c r="E29" s="1" t="s">
        <v>7</v>
      </c>
      <c r="F29" s="1" t="s">
        <v>69</v>
      </c>
      <c r="G29" s="1">
        <v>0.76</v>
      </c>
      <c r="H29" s="1">
        <f t="shared" si="1"/>
        <v>9.120000000000001</v>
      </c>
    </row>
    <row r="30" spans="1:8">
      <c r="A30" s="1" t="s">
        <v>104</v>
      </c>
      <c r="B30" s="1">
        <v>1</v>
      </c>
      <c r="C30" s="13">
        <f t="shared" si="0"/>
        <v>2</v>
      </c>
      <c r="D30" s="1"/>
      <c r="E30" s="1" t="s">
        <v>7</v>
      </c>
      <c r="F30" s="1" t="s">
        <v>71</v>
      </c>
      <c r="G30" s="1">
        <v>0.41</v>
      </c>
      <c r="H30" s="1">
        <f t="shared" si="1"/>
        <v>0.82</v>
      </c>
    </row>
    <row r="32" spans="1:8">
      <c r="G32" s="5" t="s">
        <v>63</v>
      </c>
      <c r="H32" s="5">
        <f>SUM(H4:H30)</f>
        <v>93.380000000000024</v>
      </c>
    </row>
    <row r="33" spans="1:8">
      <c r="A33" s="15" t="s">
        <v>64</v>
      </c>
      <c r="B33" s="15"/>
      <c r="C33" s="15"/>
      <c r="D33" s="15"/>
      <c r="E33" s="15"/>
      <c r="F33" s="15"/>
      <c r="G33" s="15"/>
      <c r="H33" s="15"/>
    </row>
    <row r="34" spans="1:8">
      <c r="A34" s="15"/>
      <c r="B34" s="15"/>
      <c r="C34" s="15"/>
      <c r="D34" s="15"/>
      <c r="E34" s="15"/>
      <c r="F34" s="15"/>
      <c r="G34" s="15"/>
      <c r="H34" s="15"/>
    </row>
    <row r="35" spans="1:8">
      <c r="A35" s="6" t="s">
        <v>1</v>
      </c>
      <c r="B35" s="6" t="s">
        <v>98</v>
      </c>
      <c r="C35" s="12" t="s">
        <v>99</v>
      </c>
      <c r="D35" s="6" t="s">
        <v>100</v>
      </c>
      <c r="E35" s="6" t="s">
        <v>2</v>
      </c>
      <c r="F35" s="6" t="s">
        <v>1</v>
      </c>
      <c r="G35" s="6" t="s">
        <v>3</v>
      </c>
      <c r="H35" s="6" t="s">
        <v>4</v>
      </c>
    </row>
    <row r="36" spans="1:8">
      <c r="A36" s="1" t="s">
        <v>64</v>
      </c>
      <c r="B36" s="1">
        <v>1</v>
      </c>
      <c r="C36" s="13">
        <v>2</v>
      </c>
      <c r="D36" s="1"/>
      <c r="E36" s="1" t="s">
        <v>65</v>
      </c>
      <c r="F36" s="1" t="s">
        <v>66</v>
      </c>
      <c r="G36" s="1">
        <v>90.34</v>
      </c>
      <c r="H36" s="1">
        <v>180.68</v>
      </c>
    </row>
    <row r="38" spans="1:8">
      <c r="G38" s="5" t="s">
        <v>63</v>
      </c>
      <c r="H38" s="5">
        <v>180.68</v>
      </c>
    </row>
    <row r="39" spans="1:8">
      <c r="A39" s="15" t="s">
        <v>103</v>
      </c>
      <c r="B39" s="15"/>
      <c r="C39" s="15"/>
      <c r="D39" s="15"/>
      <c r="E39" s="15"/>
      <c r="F39" s="15"/>
      <c r="G39" s="15"/>
      <c r="H39" s="15"/>
    </row>
    <row r="40" spans="1:8">
      <c r="A40" s="15"/>
      <c r="B40" s="15"/>
      <c r="C40" s="15"/>
      <c r="D40" s="15"/>
      <c r="E40" s="15"/>
      <c r="F40" s="15"/>
      <c r="G40" s="15"/>
      <c r="H40" s="15"/>
    </row>
    <row r="41" spans="1:8">
      <c r="A41" s="2" t="s">
        <v>1</v>
      </c>
      <c r="B41" s="6" t="s">
        <v>98</v>
      </c>
      <c r="C41" s="12" t="s">
        <v>99</v>
      </c>
      <c r="D41" s="6" t="s">
        <v>100</v>
      </c>
      <c r="E41" s="2" t="s">
        <v>2</v>
      </c>
      <c r="F41" s="2" t="s">
        <v>1</v>
      </c>
      <c r="G41" s="2" t="s">
        <v>3</v>
      </c>
      <c r="H41" s="2" t="s">
        <v>4</v>
      </c>
    </row>
    <row r="42" spans="1:8">
      <c r="A42" s="7" t="s">
        <v>78</v>
      </c>
      <c r="B42" s="1">
        <v>0</v>
      </c>
      <c r="C42" s="13">
        <f>B42*2</f>
        <v>0</v>
      </c>
      <c r="D42" s="1"/>
      <c r="E42" s="1" t="s">
        <v>77</v>
      </c>
      <c r="F42" s="1" t="s">
        <v>76</v>
      </c>
      <c r="G42" s="1">
        <v>97.34</v>
      </c>
      <c r="H42" s="1">
        <f>G42*C42</f>
        <v>0</v>
      </c>
    </row>
    <row r="43" spans="1:8">
      <c r="A43" s="7" t="s">
        <v>80</v>
      </c>
      <c r="B43" s="1">
        <v>1</v>
      </c>
      <c r="C43" s="13">
        <f t="shared" ref="C43:C57" si="2">B43*2</f>
        <v>2</v>
      </c>
      <c r="D43" s="1"/>
      <c r="E43" s="1" t="s">
        <v>77</v>
      </c>
      <c r="F43" s="1" t="s">
        <v>79</v>
      </c>
      <c r="G43" s="1">
        <v>7.53</v>
      </c>
      <c r="H43" s="1">
        <f t="shared" ref="H43:H57" si="3">G43*C43</f>
        <v>15.06</v>
      </c>
    </row>
    <row r="44" spans="1:8">
      <c r="A44" s="7" t="s">
        <v>101</v>
      </c>
      <c r="B44" s="1">
        <v>0.5</v>
      </c>
      <c r="C44" s="13">
        <f t="shared" si="2"/>
        <v>1</v>
      </c>
      <c r="D44" s="1"/>
      <c r="E44" s="1" t="s">
        <v>77</v>
      </c>
      <c r="F44" s="1" t="s">
        <v>81</v>
      </c>
      <c r="G44" s="1">
        <v>27.09</v>
      </c>
      <c r="H44" s="1">
        <f t="shared" si="3"/>
        <v>27.09</v>
      </c>
    </row>
    <row r="45" spans="1:8">
      <c r="A45" s="7" t="s">
        <v>108</v>
      </c>
      <c r="B45" s="1">
        <v>1</v>
      </c>
      <c r="C45" s="13">
        <f t="shared" si="2"/>
        <v>2</v>
      </c>
      <c r="D45" s="1"/>
      <c r="E45" s="1" t="s">
        <v>77</v>
      </c>
      <c r="F45" s="1" t="s">
        <v>97</v>
      </c>
      <c r="G45" s="1">
        <v>7.91</v>
      </c>
      <c r="H45" s="1">
        <f t="shared" si="3"/>
        <v>15.82</v>
      </c>
    </row>
    <row r="46" spans="1:8">
      <c r="A46" s="7" t="s">
        <v>82</v>
      </c>
      <c r="B46" s="1">
        <v>0.5</v>
      </c>
      <c r="C46" s="13">
        <f t="shared" si="2"/>
        <v>1</v>
      </c>
      <c r="D46" s="1"/>
      <c r="E46" s="1" t="s">
        <v>77</v>
      </c>
      <c r="F46" s="1" t="s">
        <v>102</v>
      </c>
      <c r="G46" s="1">
        <v>244.52</v>
      </c>
      <c r="H46" s="1">
        <f t="shared" si="3"/>
        <v>244.52</v>
      </c>
    </row>
    <row r="47" spans="1:8">
      <c r="A47" s="7" t="s">
        <v>85</v>
      </c>
      <c r="B47" s="1">
        <v>0.5</v>
      </c>
      <c r="C47" s="13">
        <f t="shared" si="2"/>
        <v>1</v>
      </c>
      <c r="D47" s="1"/>
      <c r="E47" s="1" t="s">
        <v>77</v>
      </c>
      <c r="F47" s="1" t="s">
        <v>83</v>
      </c>
      <c r="G47" s="1">
        <v>22.77</v>
      </c>
      <c r="H47" s="1">
        <f t="shared" si="3"/>
        <v>22.77</v>
      </c>
    </row>
    <row r="48" spans="1:8">
      <c r="A48" s="7" t="s">
        <v>96</v>
      </c>
      <c r="B48" s="1">
        <v>0.5</v>
      </c>
      <c r="C48" s="13">
        <f t="shared" si="2"/>
        <v>1</v>
      </c>
      <c r="D48" s="1"/>
      <c r="E48" s="1" t="s">
        <v>77</v>
      </c>
      <c r="F48" s="1" t="s">
        <v>84</v>
      </c>
      <c r="G48" s="1">
        <v>20.64</v>
      </c>
      <c r="H48" s="1">
        <f t="shared" si="3"/>
        <v>20.64</v>
      </c>
    </row>
    <row r="49" spans="1:8">
      <c r="A49" s="7" t="s">
        <v>94</v>
      </c>
      <c r="B49" s="1">
        <v>0.5</v>
      </c>
      <c r="C49" s="13">
        <f t="shared" si="2"/>
        <v>1</v>
      </c>
      <c r="D49" s="1"/>
      <c r="E49" s="1" t="s">
        <v>77</v>
      </c>
      <c r="F49" s="1" t="s">
        <v>86</v>
      </c>
      <c r="G49" s="1">
        <v>13.32</v>
      </c>
      <c r="H49" s="1">
        <f t="shared" si="3"/>
        <v>13.32</v>
      </c>
    </row>
    <row r="50" spans="1:8">
      <c r="A50" s="7" t="s">
        <v>95</v>
      </c>
      <c r="B50" s="1">
        <v>0.5</v>
      </c>
      <c r="C50" s="13">
        <f t="shared" si="2"/>
        <v>1</v>
      </c>
      <c r="D50" s="1"/>
      <c r="E50" s="1" t="s">
        <v>77</v>
      </c>
      <c r="F50" s="1" t="s">
        <v>87</v>
      </c>
      <c r="G50" s="1">
        <v>13.32</v>
      </c>
      <c r="H50" s="1">
        <f t="shared" si="3"/>
        <v>13.32</v>
      </c>
    </row>
    <row r="51" spans="1:8">
      <c r="A51" s="7" t="s">
        <v>88</v>
      </c>
      <c r="B51" s="1">
        <v>0.5</v>
      </c>
      <c r="C51" s="13">
        <f t="shared" si="2"/>
        <v>1</v>
      </c>
      <c r="D51" s="1"/>
      <c r="E51" s="1" t="s">
        <v>77</v>
      </c>
      <c r="F51" s="1" t="s">
        <v>89</v>
      </c>
      <c r="G51" s="1">
        <v>67.75</v>
      </c>
      <c r="H51" s="1">
        <f t="shared" si="3"/>
        <v>67.75</v>
      </c>
    </row>
    <row r="52" spans="1:8">
      <c r="A52" s="7" t="s">
        <v>90</v>
      </c>
      <c r="B52" s="1">
        <v>0.5</v>
      </c>
      <c r="C52" s="13">
        <f t="shared" si="2"/>
        <v>1</v>
      </c>
      <c r="D52" s="1"/>
      <c r="E52" s="1" t="s">
        <v>77</v>
      </c>
      <c r="F52" s="1" t="s">
        <v>91</v>
      </c>
      <c r="G52" s="1">
        <v>52.9</v>
      </c>
      <c r="H52" s="1">
        <f t="shared" si="3"/>
        <v>52.9</v>
      </c>
    </row>
    <row r="53" spans="1:8">
      <c r="A53" s="7" t="s">
        <v>93</v>
      </c>
      <c r="B53" s="1">
        <v>4</v>
      </c>
      <c r="C53" s="13">
        <f t="shared" si="2"/>
        <v>8</v>
      </c>
      <c r="D53" s="1"/>
      <c r="E53" s="1" t="s">
        <v>77</v>
      </c>
      <c r="F53" s="7" t="s">
        <v>92</v>
      </c>
      <c r="G53" s="1">
        <v>10.46</v>
      </c>
      <c r="H53" s="1">
        <f t="shared" si="3"/>
        <v>83.68</v>
      </c>
    </row>
    <row r="54" spans="1:8">
      <c r="A54" s="9" t="s">
        <v>106</v>
      </c>
      <c r="B54" s="10">
        <v>1</v>
      </c>
      <c r="C54" s="11">
        <f t="shared" si="2"/>
        <v>2</v>
      </c>
      <c r="D54" s="11"/>
      <c r="E54" s="10" t="s">
        <v>77</v>
      </c>
      <c r="F54" t="s">
        <v>105</v>
      </c>
      <c r="G54" s="10">
        <v>7.89</v>
      </c>
      <c r="H54" s="10">
        <f t="shared" si="3"/>
        <v>15.78</v>
      </c>
    </row>
    <row r="55" spans="1:8">
      <c r="A55" s="1" t="s">
        <v>109</v>
      </c>
      <c r="B55" s="10">
        <v>1</v>
      </c>
      <c r="C55" s="11">
        <f t="shared" si="2"/>
        <v>2</v>
      </c>
      <c r="D55" s="11"/>
      <c r="E55" s="10" t="s">
        <v>77</v>
      </c>
      <c r="F55" s="10" t="s">
        <v>107</v>
      </c>
      <c r="G55" s="10">
        <v>4.92</v>
      </c>
      <c r="H55" s="10">
        <f t="shared" si="3"/>
        <v>9.84</v>
      </c>
    </row>
    <row r="56" spans="1:8">
      <c r="A56" s="1" t="s">
        <v>111</v>
      </c>
      <c r="B56" s="10">
        <v>0.5</v>
      </c>
      <c r="C56" s="11">
        <f t="shared" si="2"/>
        <v>1</v>
      </c>
      <c r="D56" s="11"/>
      <c r="E56" s="10" t="s">
        <v>77</v>
      </c>
      <c r="F56" s="10" t="s">
        <v>110</v>
      </c>
      <c r="G56" s="10">
        <v>21.89</v>
      </c>
      <c r="H56" s="10">
        <f t="shared" si="3"/>
        <v>21.89</v>
      </c>
    </row>
    <row r="57" spans="1:8">
      <c r="A57" s="1" t="s">
        <v>113</v>
      </c>
      <c r="B57" s="10">
        <v>0.5</v>
      </c>
      <c r="C57" s="11">
        <f t="shared" si="2"/>
        <v>1</v>
      </c>
      <c r="D57" s="11"/>
      <c r="E57" s="10" t="s">
        <v>77</v>
      </c>
      <c r="F57" s="1" t="s">
        <v>112</v>
      </c>
      <c r="G57" s="10">
        <v>9.83</v>
      </c>
      <c r="H57" s="10">
        <f t="shared" si="3"/>
        <v>9.83</v>
      </c>
    </row>
    <row r="58" spans="1:8">
      <c r="A58" s="8"/>
    </row>
    <row r="59" spans="1:8">
      <c r="G59" s="5" t="s">
        <v>63</v>
      </c>
      <c r="H59" s="5">
        <f>SUM(H42:H57)</f>
        <v>634.20999999999992</v>
      </c>
    </row>
    <row r="61" spans="1:8">
      <c r="F61" s="16" t="s">
        <v>67</v>
      </c>
      <c r="G61" s="17"/>
      <c r="H61" s="3">
        <f>H32+H38+H59</f>
        <v>908.27</v>
      </c>
    </row>
    <row r="62" spans="1:8">
      <c r="F62" s="18" t="s">
        <v>68</v>
      </c>
      <c r="G62" s="19"/>
      <c r="H62" s="4">
        <f>H61*1.2</f>
        <v>1089.924</v>
      </c>
    </row>
  </sheetData>
  <mergeCells count="5">
    <mergeCell ref="A1:H2"/>
    <mergeCell ref="A33:H34"/>
    <mergeCell ref="A39:H40"/>
    <mergeCell ref="F61:G61"/>
    <mergeCell ref="F62:G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Interface_IAI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Buloup</dc:creator>
  <cp:lastModifiedBy>Buloup</cp:lastModifiedBy>
  <dcterms:created xsi:type="dcterms:W3CDTF">2026-10-04T17:20:01Z</dcterms:created>
  <dcterms:modified xsi:type="dcterms:W3CDTF">2026-10-14T11:16:29Z</dcterms:modified>
</cp:coreProperties>
</file>